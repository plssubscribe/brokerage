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System guide" sheetId="2" r:id="rId6"/>
    <sheet state="hidden" name="Dropdown data" sheetId="3" r:id="rId7"/>
  </sheets>
  <definedNames>
    <definedName hidden="1" localSheetId="1" name="_xlnm._FilterDatabase">'System guide'!$A$4:$C$20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">
      <text>
        <t xml:space="preserve">Describe the records you keep here, such as emails, contacts, invoices, project files, or reports.</t>
      </text>
    </comment>
    <comment authorId="0" ref="E20">
      <text>
        <t xml:space="preserve">Choose the closest option. Select Unsure if you need to check with someone.</t>
      </text>
    </comment>
    <comment authorId="0" ref="F20">
      <text>
        <t xml:space="preserve">Optional: add the actual tool name for Other, another use, a mailbox provider, or useful context.</t>
      </text>
    </comment>
    <comment authorId="0" ref="A20">
      <text>
        <t xml:space="preserve">Enter the tool or app name. You can type any name, or choose examples matching the use in the next column.</t>
      </text>
    </comment>
    <comment authorId="0" ref="B20">
      <text>
        <t xml:space="preserve">Choose or type what the tool is used for. The four gray starting categories are suggestions; edit or clear any you don't need. A suggestion turns dark once a tool is entered on its row.</t>
      </text>
    </comment>
    <comment authorId="0" ref="C20">
      <text>
        <t xml:space="preserve">An estimate is fine, such as 3 years or Since 2021.</t>
      </text>
    </comment>
  </commentList>
</comments>
</file>

<file path=xl/sharedStrings.xml><?xml version="1.0" encoding="utf-8"?>
<sst xmlns="http://schemas.openxmlformats.org/spreadsheetml/2006/main" count="208" uniqueCount="159">
  <si>
    <t>System guide</t>
  </si>
  <si>
    <t>Company Drive Data Inventory</t>
  </si>
  <si>
    <t>System type</t>
  </si>
  <si>
    <t>Tool 1</t>
  </si>
  <si>
    <t>Tool 2</t>
  </si>
  <si>
    <t>Add one tool per row. Type a tool name or use the dropdowns. The gray starter categories are editable suggestions; replace or clear any you don't need.</t>
  </si>
  <si>
    <t>Tool 3</t>
  </si>
  <si>
    <t>Tool 4</t>
  </si>
  <si>
    <t>Tool 5</t>
  </si>
  <si>
    <t>Tool 6</t>
  </si>
  <si>
    <t>What you use it for</t>
  </si>
  <si>
    <t>Fill in the yellow cells. One tool per row. Estimates are fine.</t>
  </si>
  <si>
    <t>Description</t>
  </si>
  <si>
    <t>Example tools</t>
  </si>
  <si>
    <t>CRM</t>
  </si>
  <si>
    <t>Company information</t>
  </si>
  <si>
    <t>Contacts, leads, and sales opportunities</t>
  </si>
  <si>
    <t>Salesforce</t>
  </si>
  <si>
    <t>Salesforce, HubSpot CRM, Pipedrive, Zoho CRM</t>
  </si>
  <si>
    <t>HubSpot CRM</t>
  </si>
  <si>
    <t>Pipedrive</t>
  </si>
  <si>
    <t>ERP</t>
  </si>
  <si>
    <t>Zoho CRM</t>
  </si>
  <si>
    <t>Finance, purchasing, inventory, and core operations</t>
  </si>
  <si>
    <t>Other (specify)</t>
  </si>
  <si>
    <t>Company name</t>
  </si>
  <si>
    <t>Oracle NetSuite, SAP S/4HANA, Microsoft Dynamics 365 Business Central, Odoo</t>
  </si>
  <si>
    <t/>
  </si>
  <si>
    <t>Email client</t>
  </si>
  <si>
    <t>Employee inboxes and business correspondence</t>
  </si>
  <si>
    <t>Gmail, Microsoft Outlook, Zoho Mail</t>
  </si>
  <si>
    <t>File storage</t>
  </si>
  <si>
    <t>Company files, shared folders, and documents</t>
  </si>
  <si>
    <t>Google Drive, Microsoft OneDrive, Microsoft SharePoint, Dropbox, Box</t>
  </si>
  <si>
    <t>Spreadsheets</t>
  </si>
  <si>
    <t>Spreadsheets and business trackers</t>
  </si>
  <si>
    <t>Google Sheets, Microsoft Excel, Airtable, Smartsheet</t>
  </si>
  <si>
    <t>Accounting</t>
  </si>
  <si>
    <t>Bookkeeping, invoices, and financial reporting</t>
  </si>
  <si>
    <t>QuickBooks Online, QuickBooks Desktop, Xero, Sage Intacct</t>
  </si>
  <si>
    <t>HR &amp; payroll</t>
  </si>
  <si>
    <t>Employee records, payroll, and benefits</t>
  </si>
  <si>
    <t>Gusto, Rippling, Workday, BambooHR</t>
  </si>
  <si>
    <t>Team communication</t>
  </si>
  <si>
    <t>Internal messaging, calls, and meetings</t>
  </si>
  <si>
    <t>Slack, Microsoft Teams, Google Chat, Zoom, Google Meet</t>
  </si>
  <si>
    <t>Projects &amp; knowledge</t>
  </si>
  <si>
    <t>Projects, tasks, procedures, and internal knowledge</t>
  </si>
  <si>
    <t>Asana, monday.com, Jira, Notion, Confluence</t>
  </si>
  <si>
    <t>Marketing</t>
  </si>
  <si>
    <t>Marketing campaigns and customer communications</t>
  </si>
  <si>
    <t>Mailchimp, Klaviyo, ActiveCampaign, HubSpot Marketing Hub</t>
  </si>
  <si>
    <t>Customer support</t>
  </si>
  <si>
    <t>Customer tickets and support conversations</t>
  </si>
  <si>
    <t>Zendesk, Intercom, Freshdesk</t>
  </si>
  <si>
    <t>Website &amp; ecommerce</t>
  </si>
  <si>
    <t>Web content, online stores, and sales orders</t>
  </si>
  <si>
    <t>Shopify, WooCommerce, WordPress, Webflow, Square</t>
  </si>
  <si>
    <t>Inventory &amp; operations</t>
  </si>
  <si>
    <t>Stock, shipping, field service, and operational jobs</t>
  </si>
  <si>
    <t>Cin7, Zoho Inventory, ShipStation, ServiceTitan, Procore</t>
  </si>
  <si>
    <t>Analytics &amp; databases</t>
  </si>
  <si>
    <t>Reports, dashboards, and stored business data</t>
  </si>
  <si>
    <t>Microsoft Power BI, Tableau, Snowflake, Google BigQuery, PostgreSQL</t>
  </si>
  <si>
    <t>Contracts &amp; forms</t>
  </si>
  <si>
    <t>Agreements, electronic signatures, forms, and surveys</t>
  </si>
  <si>
    <t>Docusign, Adobe Acrobat Sign, PandaDoc, Google Forms, Typeform</t>
  </si>
  <si>
    <t>Other / custom</t>
  </si>
  <si>
    <t>Specialized or internal systems; describe in Notes</t>
  </si>
  <si>
    <t>Custom-built / internal system, Not sure</t>
  </si>
  <si>
    <t>Website</t>
  </si>
  <si>
    <t/>
  </si>
  <si>
    <t>Country</t>
  </si>
  <si>
    <t>What the company does (1-2 sentences)</t>
  </si>
  <si>
    <t>Approx. number of W2 US employees</t>
  </si>
  <si>
    <t>How many email inboxes do you have for employees</t>
  </si>
  <si>
    <t>How fast could you provide an export or access</t>
  </si>
  <si>
    <t>How many contractors?</t>
  </si>
  <si>
    <t>Headline numbers</t>
  </si>
  <si>
    <t>Total data volume in TB, all storage combined</t>
  </si>
  <si>
    <t>Years of history covered</t>
  </si>
  <si>
    <t>Where the data lives (e.g., Google Drive, ERP, emails)</t>
  </si>
  <si>
    <t>Oracle NetSuite</t>
  </si>
  <si>
    <t>SAP S/4HANA</t>
  </si>
  <si>
    <t>Microsoft Dynamics 365 Business Central</t>
  </si>
  <si>
    <t>Odoo</t>
  </si>
  <si>
    <t>Systems &amp; tools where data lives</t>
  </si>
  <si>
    <t>Type a tool name or use the dropdowns. Gray categories are suggestions.</t>
  </si>
  <si>
    <t>Gmail</t>
  </si>
  <si>
    <t>Microsoft Outlook</t>
  </si>
  <si>
    <t>Zoho Mail</t>
  </si>
  <si>
    <t>System / tool</t>
  </si>
  <si>
    <t>Google Drive</t>
  </si>
  <si>
    <t>Microsoft OneDrive</t>
  </si>
  <si>
    <t>Microsoft SharePoint</t>
  </si>
  <si>
    <t>Dropbox</t>
  </si>
  <si>
    <t>Box</t>
  </si>
  <si>
    <t>Years of data</t>
  </si>
  <si>
    <t>What's in it (examples)</t>
  </si>
  <si>
    <t>Can it export?</t>
  </si>
  <si>
    <t>Notes</t>
  </si>
  <si>
    <t>EXAMPLE: QuickBooks Online</t>
  </si>
  <si>
    <t>Google Sheets</t>
  </si>
  <si>
    <t>Microsoft Excel</t>
  </si>
  <si>
    <t>Airtable</t>
  </si>
  <si>
    <t>Smartsheet</t>
  </si>
  <si>
    <t>~5 years</t>
  </si>
  <si>
    <t>Invoices, POs, payments, general ledger</t>
  </si>
  <si>
    <t>Yes — CSV</t>
  </si>
  <si>
    <t>Older records in QuickBooks Desktop</t>
  </si>
  <si>
    <t>QuickBooks Online</t>
  </si>
  <si>
    <t>QuickBooks Desktop</t>
  </si>
  <si>
    <t>Xero</t>
  </si>
  <si>
    <t>Sage Intacct</t>
  </si>
  <si>
    <t>Gusto</t>
  </si>
  <si>
    <t>Rippling</t>
  </si>
  <si>
    <t>Workday</t>
  </si>
  <si>
    <t>BambooHR</t>
  </si>
  <si>
    <t>Slack</t>
  </si>
  <si>
    <t>Microsoft Teams</t>
  </si>
  <si>
    <t>Google Chat</t>
  </si>
  <si>
    <t>Zoom</t>
  </si>
  <si>
    <t>Google Meet</t>
  </si>
  <si>
    <t>Asana</t>
  </si>
  <si>
    <t>monday.com</t>
  </si>
  <si>
    <t>Jira</t>
  </si>
  <si>
    <t>Notion</t>
  </si>
  <si>
    <t>Confluence</t>
  </si>
  <si>
    <t>Mailchimp</t>
  </si>
  <si>
    <t>Klaviyo</t>
  </si>
  <si>
    <t>ActiveCampaign</t>
  </si>
  <si>
    <t>HubSpot Marketing Hub</t>
  </si>
  <si>
    <t>Zendesk</t>
  </si>
  <si>
    <t>Intercom</t>
  </si>
  <si>
    <t>Freshdesk</t>
  </si>
  <si>
    <t>What would we find in your files?</t>
  </si>
  <si>
    <t>Shopify</t>
  </si>
  <si>
    <t>WooCommerce</t>
  </si>
  <si>
    <t>WordPress</t>
  </si>
  <si>
    <t>Webflow</t>
  </si>
  <si>
    <t>Square</t>
  </si>
  <si>
    <t>EXAMPLE:  Prompts: quotes · invoices · work orders · drawings/CAD · SOPs · QA records · project folders · contracts · reports · photos · email</t>
  </si>
  <si>
    <t>Cin7</t>
  </si>
  <si>
    <t>Zoho Inventory</t>
  </si>
  <si>
    <t>ShipStation</t>
  </si>
  <si>
    <t>ServiceTitan</t>
  </si>
  <si>
    <t>Procore</t>
  </si>
  <si>
    <t>Microsoft Power BI</t>
  </si>
  <si>
    <t>Tableau</t>
  </si>
  <si>
    <t>Snowflake</t>
  </si>
  <si>
    <t>Google BigQuery</t>
  </si>
  <si>
    <t>PostgreSQL</t>
  </si>
  <si>
    <t>Docusign</t>
  </si>
  <si>
    <t>Adobe Acrobat Sign</t>
  </si>
  <si>
    <t>PandaDoc</t>
  </si>
  <si>
    <t>Google Forms</t>
  </si>
  <si>
    <t>Typeform</t>
  </si>
  <si>
    <t>Custom-built / internal system</t>
  </si>
  <si>
    <t>Not 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</si>
</sst>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theme="1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sz val="10.0"/>
      <color rgb="FF596675"/>
      <name val="Arial"/>
    </font>
    <font>
      <b/>
      <sz val="10.0"/>
      <color theme="1"/>
      <name val="Arial"/>
    </font>
    <font>
      <b/>
      <sz val="11.0"/>
      <color rgb="FF1F3864"/>
      <name val="Arial"/>
    </font>
    <font>
      <color theme="1"/>
      <name val="Arial"/>
    </font>
    <font/>
    <font>
      <u/>
      <sz val="11.0"/>
      <color rgb="FF0000FF"/>
      <name val="Calibri"/>
    </font>
    <font>
      <i/>
      <sz val="9.0"/>
      <color rgb="FF777777"/>
      <name val="Arial"/>
    </font>
    <font>
      <b/>
      <sz val="11.0"/>
      <color rgb="FFFFFFFF"/>
      <name val="Arial"/>
    </font>
    <font>
      <i/>
      <sz val="9.0"/>
      <color rgb="FF434343"/>
      <name val="Arial"/>
    </font>
    <font>
      <sz val="11.0"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9DB"/>
        <bgColor rgb="FFFFF9DB"/>
      </patternFill>
    </fill>
    <fill>
      <patternFill patternType="solid">
        <fgColor rgb="FF1F3864"/>
        <bgColor rgb="FF1F3864"/>
      </patternFill>
    </fill>
  </fills>
  <borders count="4">
    <border/>
    <border>
      <bottom style="thin">
        <color rgb="FFBBBBBB"/>
      </bottom>
    </border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6" numFmtId="0" xfId="0" applyAlignment="1" applyFont="1">
      <alignment readingOrder="0" vertical="bottom"/>
    </xf>
    <xf borderId="0" fillId="2" fontId="7" numFmtId="0" xfId="0" applyAlignment="1" applyFill="1" applyFont="1">
      <alignment readingOrder="0" shrinkToFit="0" vertical="top" wrapText="1"/>
    </xf>
    <xf borderId="0" fillId="0" fontId="6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1" fillId="3" fontId="4" numFmtId="0" xfId="0" applyAlignment="1" applyBorder="1" applyFill="1" applyFont="1">
      <alignment readingOrder="0" vertical="top"/>
    </xf>
    <xf borderId="1" fillId="0" fontId="10" numFmtId="0" xfId="0" applyBorder="1" applyFont="1"/>
    <xf borderId="0" fillId="0" fontId="5" numFmtId="0" xfId="0" applyAlignment="1" applyFont="1">
      <alignment shrinkToFit="0" vertical="top" wrapText="1"/>
    </xf>
    <xf borderId="1" fillId="3" fontId="11" numFmtId="0" xfId="0" applyAlignment="1" applyBorder="1" applyFill="1" applyFont="1">
      <alignment readingOrder="0" vertical="top"/>
    </xf>
    <xf borderId="1" fillId="3" fontId="4" numFmtId="0" xfId="0" applyAlignment="1" applyBorder="1" applyFill="1" applyFont="1">
      <alignment vertical="top"/>
    </xf>
    <xf borderId="0" fillId="0" fontId="9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vertical="top"/>
    </xf>
    <xf borderId="0" fillId="0" fontId="8" numFmtId="0" xfId="0" applyAlignment="1" applyFont="1">
      <alignment vertical="bottom"/>
    </xf>
    <xf borderId="0" fillId="0" fontId="12" numFmtId="0" xfId="0" applyAlignment="1" applyFont="1">
      <alignment shrinkToFit="0" vertical="top" wrapText="1"/>
    </xf>
    <xf borderId="0" fillId="0" fontId="12" numFmtId="0" xfId="0" applyAlignment="1" applyFont="1">
      <alignment readingOrder="0" vertical="bottom"/>
    </xf>
    <xf borderId="0" fillId="2" fontId="7" numFmtId="0" xfId="0" applyAlignment="1" applyFill="1" applyFont="1">
      <alignment shrinkToFit="0" vertical="top" wrapText="1"/>
    </xf>
    <xf borderId="2" fillId="4" fontId="13" numFmtId="0" xfId="0" applyAlignment="1" applyBorder="1" applyFill="1" applyFont="1">
      <alignment readingOrder="0" shrinkToFit="0" vertical="center" wrapText="1"/>
    </xf>
    <xf borderId="2" fillId="4" fontId="13" numFmtId="0" xfId="0" applyAlignment="1" applyBorder="1" applyFill="1" applyFont="1">
      <alignment shrinkToFit="0" vertical="center" wrapText="1"/>
    </xf>
    <xf borderId="3" fillId="0" fontId="14" numFmtId="0" xfId="0" applyAlignment="1" applyBorder="1" applyFont="1">
      <alignment readingOrder="0" shrinkToFit="0" vertical="top" wrapText="1"/>
    </xf>
    <xf borderId="3" fillId="0" fontId="14" numFmtId="0" xfId="0" applyAlignment="1" applyBorder="1" applyFont="1">
      <alignment readingOrder="0" shrinkToFit="0" vertical="top" wrapText="1"/>
    </xf>
    <xf borderId="3" fillId="0" fontId="14" numFmtId="0" xfId="0" applyAlignment="1" applyBorder="1" applyFont="1">
      <alignment shrinkToFit="0" vertical="top" wrapText="1"/>
    </xf>
    <xf borderId="1" fillId="3" fontId="15" numFmtId="0" xfId="0" applyAlignment="1" applyBorder="1" applyFill="1" applyFont="1">
      <alignment readingOrder="0" shrinkToFit="0" vertical="center" wrapText="1"/>
    </xf>
    <xf borderId="1" fillId="3" fontId="15" numFmtId="0" xfId="0" applyAlignment="1" applyBorder="1" applyFill="1" applyFont="1">
      <alignment shrinkToFit="0" vertical="center" wrapText="1"/>
    </xf>
    <xf borderId="1" fillId="3" fontId="15" numFmtId="0" xfId="0" applyAlignment="1" applyBorder="1" applyFill="1" applyFont="1">
      <alignment readingOrder="0" shrinkToFit="0" vertical="center" wrapText="1"/>
    </xf>
    <xf borderId="0" fillId="0" fontId="16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3" fontId="15" numFmtId="0" xfId="0" applyAlignment="1" applyFill="1" applyFont="1">
      <alignment readingOrder="0" vertical="top"/>
    </xf>
  </cellXfs>
  <cellStyles count="1">
    <cellStyle xfId="0" name="Normal" builtinId="0"/>
  </cellStyles>
  <dxfs count="1">
    <dxf>
      <font>
        <i/>
        <color rgb="FFAAAAAA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onday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13"/>
    <col customWidth="1" min="2" max="2" width="31.38"/>
    <col customWidth="1" min="3" max="3" width="13.88"/>
    <col customWidth="1" min="4" max="4" width="30.13"/>
    <col customWidth="1" min="5" max="5" width="22.0"/>
    <col customWidth="1" min="6" max="6" width="27.63"/>
  </cols>
  <sheetData>
    <row r="1">
      <c r="A1" s="2" t="s">
        <v>1</v>
      </c>
      <c r="B1" s="4"/>
      <c r="C1" s="4"/>
      <c r="D1" s="4"/>
      <c r="E1" s="4"/>
      <c r="F1" s="4"/>
    </row>
    <row r="2" ht="19.5" customHeight="1">
      <c r="A2" s="7" t="s">
        <v>11</v>
      </c>
      <c r="B2" s="9"/>
      <c r="C2" s="9"/>
      <c r="D2" s="9"/>
      <c r="E2" s="9"/>
      <c r="F2" s="9"/>
    </row>
    <row r="3">
      <c r="A3" s="10" t="s">
        <v>15</v>
      </c>
      <c r="B3" s="4"/>
      <c r="C3" s="4"/>
      <c r="D3" s="4"/>
      <c r="E3" s="4"/>
      <c r="F3" s="4"/>
    </row>
    <row r="4">
      <c r="A4" s="11" t="s">
        <v>25</v>
      </c>
      <c r="B4" s="12"/>
      <c r="C4" s="13"/>
      <c r="D4" s="13"/>
      <c r="E4" s="4"/>
      <c r="F4" s="4"/>
    </row>
    <row r="5">
      <c r="A5" s="11" t="s">
        <v>70</v>
      </c>
      <c r="B5" s="15"/>
      <c r="C5" s="13"/>
      <c r="D5" s="13"/>
      <c r="E5" s="4"/>
      <c r="F5" s="4"/>
    </row>
    <row r="6">
      <c r="A6" s="11" t="s">
        <v>72</v>
      </c>
      <c r="B6" s="16"/>
      <c r="C6" s="13"/>
      <c r="D6" s="13"/>
      <c r="E6" s="4"/>
      <c r="F6" s="4"/>
    </row>
    <row r="7">
      <c r="A7" s="11" t="s">
        <v>73</v>
      </c>
      <c r="B7" s="16"/>
      <c r="C7" s="13"/>
      <c r="D7" s="13"/>
      <c r="E7" s="4"/>
      <c r="F7" s="4"/>
    </row>
    <row r="8">
      <c r="A8" s="17" t="s">
        <v>74</v>
      </c>
      <c r="B8" s="16"/>
      <c r="C8" s="13"/>
      <c r="D8" s="13"/>
      <c r="E8" s="4"/>
      <c r="F8" s="4"/>
    </row>
    <row r="9">
      <c r="A9" s="18" t="s">
        <v>75</v>
      </c>
      <c r="B9" s="16"/>
      <c r="C9" s="13"/>
      <c r="D9" s="13"/>
      <c r="E9" s="4"/>
      <c r="F9" s="4"/>
    </row>
    <row r="10">
      <c r="A10" s="18" t="s">
        <v>76</v>
      </c>
      <c r="B10" s="19"/>
      <c r="C10" s="19"/>
      <c r="D10" s="19"/>
      <c r="E10" s="4"/>
      <c r="F10" s="4"/>
    </row>
    <row r="11">
      <c r="A11" s="18" t="s">
        <v>77</v>
      </c>
      <c r="B11" s="19"/>
      <c r="C11" s="19"/>
      <c r="D11" s="19"/>
      <c r="E11" s="4"/>
      <c r="F11" s="4"/>
    </row>
    <row r="12">
      <c r="A12" s="18"/>
      <c r="B12" s="19"/>
      <c r="C12" s="19"/>
      <c r="D12" s="19"/>
      <c r="E12" s="4"/>
      <c r="F12" s="4"/>
    </row>
    <row r="13">
      <c r="A13" s="20" t="s">
        <v>78</v>
      </c>
      <c r="B13" s="4"/>
      <c r="C13" s="4"/>
      <c r="D13" s="4"/>
      <c r="E13" s="4"/>
      <c r="F13" s="4"/>
    </row>
    <row r="14">
      <c r="A14" s="17" t="s">
        <v>79</v>
      </c>
      <c r="B14" s="16"/>
      <c r="C14" s="13"/>
      <c r="D14" s="13"/>
      <c r="E14" s="21"/>
    </row>
    <row r="15">
      <c r="A15" s="11" t="s">
        <v>80</v>
      </c>
      <c r="B15" s="16"/>
      <c r="C15" s="13"/>
      <c r="D15" s="13"/>
      <c r="E15" s="21"/>
    </row>
    <row r="16">
      <c r="A16" s="17" t="s">
        <v>81</v>
      </c>
      <c r="B16" s="16"/>
      <c r="C16" s="13"/>
      <c r="D16" s="13"/>
      <c r="E16" s="21"/>
    </row>
    <row r="17">
      <c r="A17" s="11" t="s">
        <v>76</v>
      </c>
      <c r="B17" s="16"/>
      <c r="C17" s="13"/>
      <c r="D17" s="13"/>
      <c r="E17" s="4"/>
      <c r="F17" s="4"/>
    </row>
    <row r="18">
      <c r="A18" s="4"/>
      <c r="B18" s="4"/>
      <c r="C18" s="4"/>
      <c r="D18" s="4"/>
      <c r="E18" s="4"/>
      <c r="F18" s="4"/>
    </row>
    <row r="19" ht="21.0" customHeight="1">
      <c r="A19" s="20" t="s">
        <v>86</v>
      </c>
      <c r="B19" s="4"/>
      <c r="C19" s="22" t="s">
        <v>87</v>
      </c>
    </row>
    <row r="20" ht="27.0" customHeight="1">
      <c r="A20" s="24" t="s">
        <v>91</v>
      </c>
      <c r="B20" s="24" t="s">
        <v>10</v>
      </c>
      <c r="C20" s="25" t="s">
        <v>97</v>
      </c>
      <c r="D20" s="25" t="s">
        <v>98</v>
      </c>
      <c r="E20" s="25" t="s">
        <v>99</v>
      </c>
      <c r="F20" s="25" t="s">
        <v>100</v>
      </c>
    </row>
    <row r="21" ht="31.5" customHeight="1">
      <c r="A21" s="26" t="s">
        <v>101</v>
      </c>
      <c r="B21" s="27" t="s">
        <v>37</v>
      </c>
      <c r="C21" s="28" t="s">
        <v>106</v>
      </c>
      <c r="D21" s="28" t="s">
        <v>107</v>
      </c>
      <c r="E21" s="28" t="s">
        <v>108</v>
      </c>
      <c r="F21" s="28" t="s">
        <v>109</v>
      </c>
    </row>
    <row r="22" ht="31.5" customHeight="1">
      <c r="A22" s="29"/>
      <c r="B22" s="29" t="s">
        <v>14</v>
      </c>
      <c r="C22" s="30"/>
      <c r="D22" s="30"/>
      <c r="E22" s="30"/>
      <c r="F22" s="30"/>
    </row>
    <row r="23" ht="31.5" customHeight="1">
      <c r="A23" s="31"/>
      <c r="B23" s="29" t="s">
        <v>37</v>
      </c>
      <c r="C23" s="30"/>
      <c r="D23" s="30"/>
      <c r="E23" s="30"/>
      <c r="F23" s="30"/>
    </row>
    <row r="24" ht="31.5" customHeight="1">
      <c r="A24" s="31"/>
      <c r="B24" s="31" t="s">
        <v>28</v>
      </c>
      <c r="C24" s="30"/>
      <c r="D24" s="30"/>
      <c r="E24" s="30"/>
      <c r="F24" s="30"/>
    </row>
    <row r="25" ht="31.5" customHeight="1">
      <c r="A25" s="30"/>
      <c r="B25" s="31" t="s">
        <v>31</v>
      </c>
      <c r="C25" s="30"/>
      <c r="D25" s="30"/>
      <c r="E25" s="30"/>
      <c r="F25" s="30"/>
    </row>
    <row r="26" ht="31.5" customHeight="1">
      <c r="A26" s="31"/>
      <c r="B26" s="30"/>
      <c r="C26" s="30"/>
      <c r="D26" s="30"/>
      <c r="E26" s="30"/>
      <c r="F26" s="30"/>
    </row>
    <row r="27" ht="31.5" customHeight="1">
      <c r="A27" s="30"/>
      <c r="B27" s="30"/>
      <c r="C27" s="30"/>
      <c r="D27" s="30"/>
      <c r="E27" s="30"/>
      <c r="F27" s="30"/>
    </row>
    <row r="28" ht="31.5" customHeight="1">
      <c r="A28" s="30"/>
      <c r="B28" s="30"/>
      <c r="C28" s="30"/>
      <c r="D28" s="30"/>
      <c r="E28" s="30"/>
      <c r="F28" s="30"/>
    </row>
    <row r="29" ht="31.5" customHeight="1">
      <c r="A29" s="30"/>
      <c r="B29" s="30"/>
      <c r="C29" s="30"/>
      <c r="D29" s="30"/>
      <c r="E29" s="30"/>
      <c r="F29" s="30"/>
    </row>
    <row r="30" ht="31.5" customHeight="1">
      <c r="A30" s="30"/>
      <c r="B30" s="30"/>
      <c r="C30" s="30"/>
      <c r="D30" s="30"/>
      <c r="E30" s="30"/>
      <c r="F30" s="30"/>
    </row>
    <row r="31" ht="31.5" customHeight="1">
      <c r="A31" s="30"/>
      <c r="B31" s="30"/>
      <c r="C31" s="30"/>
      <c r="D31" s="30"/>
      <c r="E31" s="30"/>
      <c r="F31" s="30"/>
    </row>
    <row r="32">
      <c r="A32" s="4"/>
      <c r="B32" s="4"/>
      <c r="C32" s="4"/>
      <c r="D32" s="4"/>
      <c r="E32" s="4"/>
      <c r="F32" s="4"/>
    </row>
    <row r="33">
      <c r="A33" s="20" t="s">
        <v>135</v>
      </c>
      <c r="B33" s="4"/>
      <c r="C33" s="33"/>
    </row>
    <row r="34">
      <c r="A34" s="34" t="s">
        <v>141</v>
      </c>
    </row>
    <row r="37">
      <c r="A37" s="13"/>
      <c r="B37" s="13"/>
      <c r="C37" s="13"/>
      <c r="D37" s="13"/>
      <c r="E37" s="13"/>
      <c r="F37" s="13"/>
    </row>
    <row r="38">
      <c r="A38" s="4"/>
      <c r="B38" s="4"/>
      <c r="C38" s="4"/>
      <c r="D38" s="4"/>
      <c r="E38" s="4"/>
      <c r="F38" s="4"/>
    </row>
  </sheetData>
  <mergeCells count="16">
    <mergeCell ref="B4:D4"/>
    <mergeCell ref="B6:D6"/>
    <mergeCell ref="B7:D7"/>
    <mergeCell ref="B8:D8"/>
    <mergeCell ref="B9:D9"/>
    <mergeCell ref="E14:F14"/>
    <mergeCell ref="B5:D5"/>
    <mergeCell ref="C33:F33"/>
    <mergeCell ref="A34:F37"/>
    <mergeCell ref="B14:D14"/>
    <mergeCell ref="B15:D15"/>
    <mergeCell ref="E15:F15"/>
    <mergeCell ref="B16:D16"/>
    <mergeCell ref="E16:F16"/>
    <mergeCell ref="B17:D17"/>
    <mergeCell ref="C19:F19"/>
  </mergeCells>
  <conditionalFormatting sqref="B22">
    <cfRule type="expression" dxfId="0" priority="1" stopIfTrue="1">
      <formula>AND($A22="",$B22="CRM")</formula>
    </cfRule>
  </conditionalFormatting>
  <conditionalFormatting sqref="B23">
    <cfRule type="expression" dxfId="0" priority="2" stopIfTrue="1">
      <formula>AND($A23="",$B23="Accounting")</formula>
    </cfRule>
  </conditionalFormatting>
  <conditionalFormatting sqref="B24">
    <cfRule type="expression" dxfId="0" priority="3" stopIfTrue="1">
      <formula>AND($A24="",$B24="Email client")</formula>
    </cfRule>
  </conditionalFormatting>
  <conditionalFormatting sqref="B25">
    <cfRule type="expression" dxfId="0" priority="4" stopIfTrue="1">
      <formula>AND($A25="",$B25="File storage")</formula>
    </cfRule>
  </conditionalFormatting>
  <dataValidations>
    <dataValidation type="list" allowBlank="1" showInputMessage="1" prompt="Type any tool name, or choose an example. Select its use in the next column to see matching suggestions." sqref="A30">
      <formula1>'Dropdown data'!$P$2:$P$8</formula1>
    </dataValidation>
    <dataValidation type="list" allowBlank="1" showInputMessage="1" prompt="Choose or type what you use the tool for. Gray starter categories are editable suggestions; replace or clear any you don't need." sqref="B22:B31">
      <formula1>'System guide'!$A$5:$A$20</formula1>
    </dataValidation>
    <dataValidation type="list" allowBlank="1" showInputMessage="1" prompt="Type any tool name, or choose an example. Select its use in the next column to see matching suggestions." sqref="A25">
      <formula1>'Dropdown data'!$K$2:$K$8</formula1>
    </dataValidation>
    <dataValidation type="list" allowBlank="1" showInputMessage="1" prompt="Type any tool name, or choose an example. Select its use in the next column to see matching suggestions." sqref="A23">
      <formula1>'Dropdown data'!$I$2:$I$8</formula1>
    </dataValidation>
    <dataValidation type="list" allowBlank="1" showInputMessage="1" prompt="Type any tool name, or choose an example. Select its use in the next column to see matching suggestions." sqref="A31">
      <formula1>'Dropdown data'!$Q$2:$Q$8</formula1>
    </dataValidation>
    <dataValidation type="list" allowBlank="1" showInputMessage="1" prompt="Type any tool name, or choose an example. Select its use in the next column to see matching suggestions." sqref="A29">
      <formula1>'Dropdown data'!$O$2:$O$8</formula1>
    </dataValidation>
    <dataValidation type="list" allowBlank="1" sqref="E22:E31">
      <formula1>"Yes - easily,Yes - with some help,Unsure,No"</formula1>
    </dataValidation>
    <dataValidation type="list" allowBlank="1" showInputMessage="1" prompt="Type any tool name, or choose an example. Select its use in the next column to see matching suggestions." sqref="A26">
      <formula1>'Dropdown data'!$L$2:$L$8</formula1>
    </dataValidation>
    <dataValidation type="list" allowBlank="1" showInputMessage="1" prompt="Type any tool name, or choose an example. Select its use in the next column to see matching suggestions." sqref="A24">
      <formula1>'Dropdown data'!$J$2:$J$8</formula1>
    </dataValidation>
    <dataValidation type="list" allowBlank="1" sqref="B17">
      <formula1>"Ready now,1-2 weeks,About a month,Longer / unsure"</formula1>
    </dataValidation>
    <dataValidation type="list" allowBlank="1" showInputMessage="1" prompt="Type any tool name, or choose an example. Select its use in the next column to see matching suggestions." sqref="A28">
      <formula1>'Dropdown data'!$N$2:$N$8</formula1>
    </dataValidation>
    <dataValidation type="list" allowBlank="1" showInputMessage="1" prompt="Type any tool name, or choose an example. Select its use in the next column to see matching suggestions." sqref="A27">
      <formula1>'Dropdown data'!$M$2:$M$8</formula1>
    </dataValidation>
    <dataValidation type="list" allowBlank="1" showInputMessage="1" prompt="Type any tool name, or choose an example. Select its use in the next column to see matching suggestions." sqref="A22">
      <formula1>'Dropdown data'!$H$2:$H$8</formula1>
    </dataValidation>
  </dataValidation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0.13"/>
    <col customWidth="1" min="2" max="2" width="33.25"/>
    <col customWidth="1" min="3" max="3" width="62.63"/>
  </cols>
  <sheetData>
    <row r="1">
      <c r="A1" s="3" t="s">
        <v>0</v>
      </c>
    </row>
    <row r="2">
      <c r="A2" s="5" t="s">
        <v>5</v>
      </c>
    </row>
    <row r="4">
      <c r="A4" s="8" t="s">
        <v>10</v>
      </c>
      <c r="B4" s="8" t="s">
        <v>12</v>
      </c>
      <c r="C4" s="8" t="s">
        <v>13</v>
      </c>
    </row>
    <row r="5" ht="31.5" customHeight="1">
      <c r="A5" s="5" t="s">
        <v>14</v>
      </c>
      <c r="B5" s="5" t="s">
        <v>16</v>
      </c>
      <c r="C5" s="5" t="s">
        <v>18</v>
      </c>
    </row>
    <row r="6" ht="31.5" customHeight="1">
      <c r="A6" s="5" t="s">
        <v>21</v>
      </c>
      <c r="B6" s="5" t="s">
        <v>23</v>
      </c>
      <c r="C6" s="5" t="s">
        <v>26</v>
      </c>
    </row>
    <row r="7" ht="31.5" customHeight="1">
      <c r="A7" s="5" t="s">
        <v>28</v>
      </c>
      <c r="B7" s="5" t="s">
        <v>29</v>
      </c>
      <c r="C7" s="5" t="s">
        <v>30</v>
      </c>
    </row>
    <row r="8" ht="31.5" customHeight="1">
      <c r="A8" s="5" t="s">
        <v>31</v>
      </c>
      <c r="B8" s="5" t="s">
        <v>32</v>
      </c>
      <c r="C8" s="5" t="s">
        <v>33</v>
      </c>
    </row>
    <row r="9" ht="31.5" customHeight="1">
      <c r="A9" s="5" t="s">
        <v>34</v>
      </c>
      <c r="B9" s="5" t="s">
        <v>35</v>
      </c>
      <c r="C9" s="5" t="s">
        <v>36</v>
      </c>
    </row>
    <row r="10" ht="31.5" customHeight="1">
      <c r="A10" s="5" t="s">
        <v>37</v>
      </c>
      <c r="B10" s="5" t="s">
        <v>38</v>
      </c>
      <c r="C10" s="5" t="s">
        <v>39</v>
      </c>
    </row>
    <row r="11" ht="31.5" customHeight="1">
      <c r="A11" s="5" t="s">
        <v>40</v>
      </c>
      <c r="B11" s="5" t="s">
        <v>41</v>
      </c>
      <c r="C11" s="5" t="s">
        <v>42</v>
      </c>
    </row>
    <row r="12" ht="31.5" customHeight="1">
      <c r="A12" s="5" t="s">
        <v>43</v>
      </c>
      <c r="B12" s="5" t="s">
        <v>44</v>
      </c>
      <c r="C12" s="5" t="s">
        <v>45</v>
      </c>
    </row>
    <row r="13" ht="31.5" customHeight="1">
      <c r="A13" s="5" t="s">
        <v>46</v>
      </c>
      <c r="B13" s="5" t="s">
        <v>47</v>
      </c>
      <c r="C13" s="5" t="s">
        <v>48</v>
      </c>
    </row>
    <row r="14" ht="31.5" customHeight="1">
      <c r="A14" s="5" t="s">
        <v>49</v>
      </c>
      <c r="B14" s="5" t="s">
        <v>50</v>
      </c>
      <c r="C14" s="5" t="s">
        <v>51</v>
      </c>
    </row>
    <row r="15" ht="31.5" customHeight="1">
      <c r="A15" s="5" t="s">
        <v>52</v>
      </c>
      <c r="B15" s="5" t="s">
        <v>53</v>
      </c>
      <c r="C15" s="5" t="s">
        <v>54</v>
      </c>
    </row>
    <row r="16" ht="31.5" customHeight="1">
      <c r="A16" s="5" t="s">
        <v>55</v>
      </c>
      <c r="B16" s="5" t="s">
        <v>56</v>
      </c>
      <c r="C16" s="5" t="s">
        <v>57</v>
      </c>
    </row>
    <row r="17" ht="31.5" customHeight="1">
      <c r="A17" s="5" t="s">
        <v>58</v>
      </c>
      <c r="B17" s="5" t="s">
        <v>59</v>
      </c>
      <c r="C17" s="5" t="s">
        <v>60</v>
      </c>
    </row>
    <row r="18" ht="31.5" customHeight="1">
      <c r="A18" s="5" t="s">
        <v>61</v>
      </c>
      <c r="B18" s="5" t="s">
        <v>62</v>
      </c>
      <c r="C18" s="5" t="s">
        <v>63</v>
      </c>
    </row>
    <row r="19" ht="31.5" customHeight="1">
      <c r="A19" s="5" t="s">
        <v>64</v>
      </c>
      <c r="B19" s="5" t="s">
        <v>65</v>
      </c>
      <c r="C19" s="5" t="s">
        <v>66</v>
      </c>
    </row>
    <row r="20" ht="31.5" customHeight="1">
      <c r="A20" s="5" t="s">
        <v>67</v>
      </c>
      <c r="B20" s="5" t="s">
        <v>68</v>
      </c>
      <c r="C20" s="5" t="s">
        <v>69</v>
      </c>
    </row>
    <row r="21" ht="31.5" customHeight="1">
      <c r="A21" s="14"/>
      <c r="B21" s="14"/>
      <c r="C21" s="14"/>
    </row>
    <row r="22" ht="31.5" customHeight="1">
      <c r="A22" s="14"/>
      <c r="B22" s="14"/>
      <c r="C22" s="14"/>
    </row>
    <row r="23" ht="31.5" customHeight="1">
      <c r="A23" s="14"/>
      <c r="B23" s="14"/>
      <c r="C23" s="14"/>
    </row>
    <row r="24" ht="31.5" customHeight="1">
      <c r="A24" s="14"/>
      <c r="B24" s="14"/>
      <c r="C24" s="14"/>
    </row>
    <row r="25" ht="31.5" customHeight="1">
      <c r="A25" s="14"/>
      <c r="B25" s="14"/>
      <c r="C25" s="14"/>
    </row>
    <row r="26" ht="31.5" customHeight="1">
      <c r="A26" s="14"/>
      <c r="B26" s="14"/>
      <c r="C26" s="14"/>
    </row>
    <row r="27" ht="31.5" customHeight="1">
      <c r="A27" s="14"/>
      <c r="B27" s="14"/>
      <c r="C27" s="14"/>
    </row>
    <row r="28" ht="31.5" customHeight="1">
      <c r="A28" s="14"/>
      <c r="B28" s="14"/>
      <c r="C28" s="14"/>
    </row>
    <row r="29" ht="31.5" customHeight="1">
      <c r="A29" s="14"/>
      <c r="B29" s="14"/>
      <c r="C29" s="14"/>
    </row>
    <row r="30" ht="31.5" customHeight="1">
      <c r="A30" s="14"/>
      <c r="B30" s="14"/>
      <c r="C30" s="14"/>
    </row>
    <row r="31" ht="31.5" customHeight="1">
      <c r="A31" s="14"/>
      <c r="B31" s="14"/>
      <c r="C31" s="14"/>
    </row>
    <row r="32" ht="31.5" customHeight="1">
      <c r="A32" s="14"/>
      <c r="B32" s="14"/>
      <c r="C32" s="14"/>
    </row>
    <row r="33" ht="31.5" customHeight="1">
      <c r="A33" s="14"/>
      <c r="B33" s="14"/>
      <c r="C33" s="14"/>
    </row>
    <row r="34" ht="31.5" customHeight="1">
      <c r="A34" s="14"/>
      <c r="B34" s="14"/>
      <c r="C34" s="14"/>
    </row>
    <row r="35" ht="31.5" customHeight="1">
      <c r="A35" s="14"/>
      <c r="B35" s="14"/>
      <c r="C35" s="14"/>
    </row>
    <row r="36" ht="31.5" customHeight="1">
      <c r="A36" s="14"/>
      <c r="B36" s="14"/>
      <c r="C36" s="14"/>
    </row>
    <row r="37" ht="31.5" customHeight="1">
      <c r="A37" s="14"/>
      <c r="B37" s="14"/>
      <c r="C37" s="14"/>
    </row>
    <row r="38" ht="31.5" customHeight="1">
      <c r="A38" s="14"/>
      <c r="B38" s="14"/>
      <c r="C38" s="14"/>
    </row>
    <row r="39" ht="31.5" customHeight="1">
      <c r="A39" s="14"/>
      <c r="B39" s="14"/>
      <c r="C39" s="14"/>
    </row>
    <row r="40" ht="31.5" customHeight="1">
      <c r="A40" s="14"/>
      <c r="B40" s="14"/>
      <c r="C40" s="14"/>
    </row>
    <row r="41" ht="31.5" customHeight="1">
      <c r="A41" s="14"/>
      <c r="B41" s="14"/>
      <c r="C41" s="14"/>
    </row>
    <row r="42" ht="31.5" customHeight="1">
      <c r="A42" s="14"/>
      <c r="B42" s="14"/>
      <c r="C42" s="14"/>
    </row>
    <row r="43" ht="31.5" customHeight="1">
      <c r="A43" s="14"/>
      <c r="B43" s="14"/>
      <c r="C43" s="14"/>
    </row>
    <row r="44" ht="31.5" customHeight="1">
      <c r="A44" s="14"/>
      <c r="B44" s="14"/>
      <c r="C44" s="14"/>
    </row>
    <row r="45" ht="31.5" customHeight="1">
      <c r="A45" s="14"/>
      <c r="B45" s="14"/>
      <c r="C45" s="14"/>
    </row>
    <row r="46" ht="31.5" customHeight="1">
      <c r="A46" s="14"/>
      <c r="B46" s="14"/>
      <c r="C46" s="14"/>
    </row>
    <row r="47" ht="31.5" customHeight="1">
      <c r="A47" s="14"/>
      <c r="B47" s="14"/>
      <c r="C47" s="14"/>
    </row>
    <row r="48" ht="31.5" customHeight="1">
      <c r="A48" s="14"/>
      <c r="B48" s="14"/>
      <c r="C48" s="14"/>
    </row>
    <row r="49" ht="31.5" customHeight="1">
      <c r="A49" s="14"/>
      <c r="B49" s="14"/>
      <c r="C49" s="14"/>
    </row>
    <row r="50" ht="31.5" customHeight="1">
      <c r="A50" s="14"/>
      <c r="B50" s="14"/>
      <c r="C50" s="14"/>
    </row>
    <row r="51" ht="31.5" customHeight="1">
      <c r="A51" s="14"/>
      <c r="B51" s="14"/>
      <c r="C51" s="14"/>
    </row>
    <row r="52" ht="31.5" customHeight="1">
      <c r="A52" s="14"/>
      <c r="B52" s="14"/>
      <c r="C52" s="14"/>
    </row>
    <row r="53" ht="31.5" customHeight="1">
      <c r="A53" s="14"/>
      <c r="B53" s="14"/>
      <c r="C53" s="14"/>
    </row>
    <row r="54" ht="31.5" customHeight="1">
      <c r="A54" s="14"/>
      <c r="B54" s="14"/>
      <c r="C54" s="14"/>
    </row>
    <row r="55" ht="31.5" customHeight="1">
      <c r="A55" s="14"/>
      <c r="B55" s="14"/>
      <c r="C55" s="14"/>
    </row>
    <row r="56" ht="31.5" customHeight="1">
      <c r="A56" s="14"/>
      <c r="B56" s="14"/>
      <c r="C56" s="14"/>
    </row>
    <row r="57" ht="31.5" customHeight="1">
      <c r="A57" s="14"/>
      <c r="B57" s="14"/>
      <c r="C57" s="14"/>
    </row>
    <row r="58" ht="31.5" customHeight="1">
      <c r="A58" s="14"/>
      <c r="B58" s="14"/>
      <c r="C58" s="14"/>
    </row>
    <row r="59" ht="31.5" customHeight="1">
      <c r="A59" s="14"/>
      <c r="B59" s="14"/>
      <c r="C59" s="14"/>
    </row>
    <row r="60" ht="31.5" customHeight="1">
      <c r="A60" s="14"/>
      <c r="B60" s="14"/>
      <c r="C60" s="14"/>
    </row>
    <row r="61" ht="31.5" customHeight="1">
      <c r="A61" s="14"/>
      <c r="B61" s="14"/>
      <c r="C61" s="14"/>
    </row>
    <row r="62" ht="31.5" customHeight="1">
      <c r="A62" s="14"/>
      <c r="B62" s="14"/>
      <c r="C62" s="14"/>
    </row>
    <row r="63" ht="31.5" customHeight="1">
      <c r="A63" s="14"/>
      <c r="B63" s="14"/>
      <c r="C63" s="14"/>
    </row>
    <row r="64" ht="31.5" customHeight="1">
      <c r="A64" s="14"/>
      <c r="B64" s="14"/>
      <c r="C64" s="14"/>
    </row>
    <row r="65" ht="31.5" customHeight="1">
      <c r="A65" s="14"/>
      <c r="B65" s="14"/>
      <c r="C65" s="14"/>
    </row>
    <row r="66" ht="31.5" customHeight="1">
      <c r="A66" s="14"/>
      <c r="B66" s="14"/>
      <c r="C66" s="14"/>
    </row>
    <row r="67" ht="31.5" customHeight="1">
      <c r="A67" s="14"/>
      <c r="B67" s="14"/>
      <c r="C67" s="14"/>
    </row>
    <row r="68" ht="31.5" customHeight="1">
      <c r="A68" s="14"/>
      <c r="B68" s="14"/>
      <c r="C68" s="14"/>
    </row>
    <row r="69" ht="31.5" customHeight="1">
      <c r="A69" s="14"/>
      <c r="B69" s="14"/>
      <c r="C69" s="14"/>
    </row>
    <row r="70" ht="31.5" customHeight="1">
      <c r="A70" s="14"/>
      <c r="B70" s="14"/>
      <c r="C70" s="14"/>
    </row>
    <row r="71" ht="31.5" customHeight="1">
      <c r="A71" s="14"/>
      <c r="B71" s="14"/>
      <c r="C71" s="14"/>
    </row>
    <row r="72" ht="31.5" customHeight="1">
      <c r="A72" s="14"/>
      <c r="B72" s="14"/>
      <c r="C72" s="14"/>
    </row>
    <row r="73" ht="31.5" customHeight="1">
      <c r="A73" s="14"/>
      <c r="B73" s="14"/>
      <c r="C73" s="14"/>
    </row>
    <row r="74" ht="31.5" customHeight="1">
      <c r="A74" s="14"/>
      <c r="B74" s="14"/>
      <c r="C74" s="14"/>
    </row>
    <row r="75" ht="31.5" customHeight="1">
      <c r="A75" s="14"/>
      <c r="B75" s="14"/>
      <c r="C75" s="14"/>
    </row>
    <row r="76" ht="31.5" customHeight="1">
      <c r="A76" s="14"/>
      <c r="B76" s="14"/>
      <c r="C76" s="14"/>
    </row>
    <row r="77" ht="31.5" customHeight="1">
      <c r="A77" s="14"/>
      <c r="B77" s="14"/>
      <c r="C77" s="14"/>
    </row>
    <row r="78" ht="31.5" customHeight="1">
      <c r="A78" s="14"/>
      <c r="B78" s="14"/>
      <c r="C78" s="14"/>
    </row>
    <row r="79" ht="31.5" customHeight="1">
      <c r="A79" s="14"/>
      <c r="B79" s="14"/>
      <c r="C79" s="14"/>
    </row>
    <row r="80" ht="31.5" customHeight="1">
      <c r="A80" s="14"/>
      <c r="B80" s="14"/>
      <c r="C80" s="14"/>
    </row>
    <row r="81" ht="31.5" customHeight="1">
      <c r="A81" s="14"/>
      <c r="B81" s="14"/>
      <c r="C81" s="14"/>
    </row>
    <row r="82" ht="31.5" customHeight="1">
      <c r="A82" s="14"/>
      <c r="B82" s="14"/>
      <c r="C82" s="14"/>
    </row>
    <row r="83" ht="31.5" customHeight="1">
      <c r="A83" s="14"/>
      <c r="B83" s="14"/>
      <c r="C83" s="14"/>
    </row>
    <row r="84" ht="31.5" customHeight="1">
      <c r="A84" s="14"/>
      <c r="B84" s="14"/>
      <c r="C84" s="14"/>
    </row>
    <row r="85" ht="31.5" customHeight="1">
      <c r="A85" s="14"/>
      <c r="B85" s="14"/>
      <c r="C85" s="14"/>
    </row>
    <row r="86" ht="31.5" customHeight="1">
      <c r="A86" s="14"/>
      <c r="B86" s="14"/>
      <c r="C86" s="14"/>
    </row>
    <row r="87" ht="31.5" customHeight="1">
      <c r="A87" s="14"/>
      <c r="B87" s="14"/>
      <c r="C87" s="14"/>
    </row>
    <row r="88" ht="31.5" customHeight="1">
      <c r="A88" s="14"/>
      <c r="B88" s="14"/>
      <c r="C88" s="14"/>
    </row>
    <row r="89" ht="31.5" customHeight="1">
      <c r="A89" s="14"/>
      <c r="B89" s="14"/>
      <c r="C89" s="14"/>
    </row>
    <row r="90" ht="31.5" customHeight="1">
      <c r="A90" s="14"/>
      <c r="B90" s="14"/>
      <c r="C90" s="14"/>
    </row>
    <row r="91" ht="31.5" customHeight="1">
      <c r="A91" s="14"/>
      <c r="B91" s="14"/>
      <c r="C91" s="14"/>
    </row>
    <row r="92" ht="31.5" customHeight="1">
      <c r="A92" s="14"/>
      <c r="B92" s="14"/>
      <c r="C92" s="14"/>
    </row>
    <row r="93" ht="31.5" customHeight="1">
      <c r="A93" s="14"/>
      <c r="B93" s="14"/>
      <c r="C93" s="14"/>
    </row>
    <row r="94" ht="31.5" customHeight="1">
      <c r="A94" s="14"/>
      <c r="B94" s="14"/>
      <c r="C94" s="14"/>
    </row>
    <row r="95" ht="31.5" customHeight="1">
      <c r="A95" s="14"/>
      <c r="B95" s="14"/>
      <c r="C95" s="14"/>
    </row>
    <row r="96" ht="31.5" customHeight="1">
      <c r="A96" s="14"/>
      <c r="B96" s="14"/>
      <c r="C96" s="14"/>
    </row>
    <row r="97" ht="31.5" customHeight="1">
      <c r="A97" s="14"/>
      <c r="B97" s="14"/>
      <c r="C97" s="14"/>
    </row>
    <row r="98" ht="31.5" customHeight="1">
      <c r="A98" s="14"/>
      <c r="B98" s="14"/>
      <c r="C98" s="14"/>
    </row>
    <row r="99" ht="31.5" customHeight="1">
      <c r="A99" s="14"/>
      <c r="B99" s="14"/>
      <c r="C99" s="14"/>
    </row>
  </sheetData>
  <autoFilter ref="$A$4:$C$20"/>
  <mergeCells count="2">
    <mergeCell ref="A1:C1"/>
    <mergeCell ref="A2:C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48.88"/>
    <col customWidth="1" min="3" max="3" width="42.63"/>
    <col customWidth="1" min="4" max="17" width="58.88"/>
  </cols>
  <sheetData>
    <row r="1">
      <c r="A1" s="1" t="s">
        <v>2</v>
      </c>
      <c r="B1" s="1" t="s">
        <v>3</v>
      </c>
      <c r="C1" s="1" t="s">
        <v>4</v>
      </c>
      <c r="D1" s="1" t="s">
        <v>6</v>
      </c>
      <c r="E1" s="3" t="s">
        <v>7</v>
      </c>
      <c r="F1" s="3" t="s">
        <v>8</v>
      </c>
      <c r="G1" s="3" t="s">
        <v>9</v>
      </c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s">
        <v>14</v>
      </c>
      <c r="B2" s="1" t="s">
        <v>17</v>
      </c>
      <c r="C2" s="1" t="s">
        <v>19</v>
      </c>
      <c r="D2" s="1" t="s">
        <v>20</v>
      </c>
      <c r="E2" s="5" t="s">
        <v>22</v>
      </c>
      <c r="F2" s="5" t="s">
        <v>24</v>
      </c>
      <c r="G2" s="5" t="s">
        <v>27</v>
      </c>
      <c r="H2" s="14" t="str">
        <f>IFERROR(__xludf.DUMMYFUNCTION("IF('Inventory'!B22="""",IF('Inventory'!A22="""","""",'Inventory'!A22),IFERROR(UNIQUE({'Inventory'!A22;TRANSPOSE(FILTER($B$2:$G$17,$A$2:$A$17='Inventory'!B22))}),IF('Inventory'!A22="""","""",'Inventory'!A22)))"),"")</f>
        <v/>
      </c>
      <c r="I2" s="14" t="str">
        <f>IFERROR(__xludf.DUMMYFUNCTION("IF('Inventory'!B23="""",IF('Inventory'!A23="""","""",'Inventory'!A23),IFERROR(UNIQUE({'Inventory'!A23;TRANSPOSE(FILTER($B$2:$G$17,$A$2:$A$17='Inventory'!B23))}),IF('Inventory'!A23="""","""",'Inventory'!A23)))"),"")</f>
        <v/>
      </c>
      <c r="J2" s="14" t="str">
        <f>IFERROR(__xludf.DUMMYFUNCTION("IF('Inventory'!B24="""",IF('Inventory'!A24="""","""",'Inventory'!A24),IFERROR(UNIQUE({'Inventory'!A24;TRANSPOSE(FILTER($B$2:$G$17,$A$2:$A$17='Inventory'!B24))}),IF('Inventory'!A24="""","""",'Inventory'!A24)))"),"")</f>
        <v/>
      </c>
      <c r="K2" s="14" t="str">
        <f>IFERROR(__xludf.DUMMYFUNCTION("IF('Inventory'!B25="""",IF('Inventory'!A25="""","""",'Inventory'!A25),IFERROR(UNIQUE({'Inventory'!A25;TRANSPOSE(FILTER($B$2:$G$17,$A$2:$A$17='Inventory'!B25))}),IF('Inventory'!A25="""","""",'Inventory'!A25)))"),"")</f>
        <v/>
      </c>
      <c r="L2" s="14" t="str">
        <f>IFERROR(__xludf.DUMMYFUNCTION("IF('Inventory'!B26="""",IF('Inventory'!A26="""","""",'Inventory'!A26),IFERROR(UNIQUE({'Inventory'!A26;TRANSPOSE(FILTER($B$2:$G$17,$A$2:$A$17='Inventory'!B26))}),IF('Inventory'!A26="""","""",'Inventory'!A26)))"),"")</f>
        <v/>
      </c>
      <c r="M2" s="14" t="str">
        <f>IFERROR(__xludf.DUMMYFUNCTION("IF('Inventory'!B27="""",IF('Inventory'!A27="""","""",'Inventory'!A27),IFERROR(UNIQUE({'Inventory'!A27;TRANSPOSE(FILTER($B$2:$G$17,$A$2:$A$17='Inventory'!B27))}),IF('Inventory'!A27="""","""",'Inventory'!A27)))"),"")</f>
        <v/>
      </c>
      <c r="N2" s="14" t="str">
        <f>IFERROR(__xludf.DUMMYFUNCTION("IF('Inventory'!B28="""",IF('Inventory'!A28="""","""",'Inventory'!A28),IFERROR(UNIQUE({'Inventory'!A28;TRANSPOSE(FILTER($B$2:$G$17,$A$2:$A$17='Inventory'!B28))}),IF('Inventory'!A28="""","""",'Inventory'!A28)))"),"")</f>
        <v/>
      </c>
      <c r="O2" s="14" t="str">
        <f>IFERROR(__xludf.DUMMYFUNCTION("IF('Inventory'!B29="""",IF('Inventory'!A29="""","""",'Inventory'!A29),IFERROR(UNIQUE({'Inventory'!A29;TRANSPOSE(FILTER($B$2:$G$17,$A$2:$A$17='Inventory'!B29))}),IF('Inventory'!A29="""","""",'Inventory'!A29)))"),"")</f>
        <v/>
      </c>
      <c r="P2" s="14" t="str">
        <f>IFERROR(__xludf.DUMMYFUNCTION("IF('Inventory'!B30="""",IF('Inventory'!A30="""","""",'Inventory'!A30),IFERROR(UNIQUE({'Inventory'!A30;TRANSPOSE(FILTER($B$2:$G$17,$A$2:$A$17='Inventory'!B30))}),IF('Inventory'!A30="""","""",'Inventory'!A30)))"),"")</f>
        <v/>
      </c>
      <c r="Q2" s="14" t="str">
        <f>IFERROR(__xludf.DUMMYFUNCTION("IF('Inventory'!B31="""",IF('Inventory'!A31="""","""",'Inventory'!A31),IFERROR(UNIQUE({'Inventory'!A31;TRANSPOSE(FILTER($B$2:$G$17,$A$2:$A$17='Inventory'!B31))}),IF('Inventory'!A31="""","""",'Inventory'!A31)))"),"")</f>
        <v/>
      </c>
    </row>
    <row r="3">
      <c r="A3" s="1" t="s">
        <v>21</v>
      </c>
      <c r="B3" s="1" t="s">
        <v>82</v>
      </c>
      <c r="C3" s="1" t="s">
        <v>83</v>
      </c>
      <c r="D3" s="1" t="s">
        <v>84</v>
      </c>
      <c r="E3" s="5" t="s">
        <v>85</v>
      </c>
      <c r="F3" s="5" t="s">
        <v>24</v>
      </c>
      <c r="G3" s="5" t="s">
        <v>27</v>
      </c>
      <c r="H3" s="14" t="str">
        <f>IFERROR(__xludf.DUMMYFUNCTION("""COMPUTED_VALUE"""),"Salesforce")</f>
        <v>Salesforce</v>
      </c>
      <c r="I3" s="14" t="str">
        <f>IFERROR(__xludf.DUMMYFUNCTION("""COMPUTED_VALUE"""),"QuickBooks Online")</f>
        <v>QuickBooks Online</v>
      </c>
      <c r="J3" s="14" t="str">
        <f>IFERROR(__xludf.DUMMYFUNCTION("""COMPUTED_VALUE"""),"Gmail")</f>
        <v>Gmail</v>
      </c>
      <c r="K3" s="14" t="str">
        <f>IFERROR(__xludf.DUMMYFUNCTION("""COMPUTED_VALUE"""),"Google Drive")</f>
        <v>Google Drive</v>
      </c>
      <c r="L3" s="14"/>
      <c r="M3" s="14"/>
      <c r="N3" s="14"/>
      <c r="O3" s="14"/>
      <c r="P3" s="14"/>
      <c r="Q3" s="14"/>
    </row>
    <row r="4">
      <c r="A4" s="1" t="s">
        <v>28</v>
      </c>
      <c r="B4" s="1" t="s">
        <v>88</v>
      </c>
      <c r="C4" s="1" t="s">
        <v>89</v>
      </c>
      <c r="D4" s="1" t="s">
        <v>90</v>
      </c>
      <c r="E4" s="8" t="s">
        <v>24</v>
      </c>
      <c r="F4" s="8" t="s">
        <v>27</v>
      </c>
      <c r="G4" s="8" t="s">
        <v>27</v>
      </c>
      <c r="H4" s="23" t="str">
        <f>IFERROR(__xludf.DUMMYFUNCTION("""COMPUTED_VALUE"""),"HubSpot CRM")</f>
        <v>HubSpot CRM</v>
      </c>
      <c r="I4" s="23" t="str">
        <f>IFERROR(__xludf.DUMMYFUNCTION("""COMPUTED_VALUE"""),"QuickBooks Desktop")</f>
        <v>QuickBooks Desktop</v>
      </c>
      <c r="J4" s="23" t="str">
        <f>IFERROR(__xludf.DUMMYFUNCTION("""COMPUTED_VALUE"""),"Microsoft Outlook")</f>
        <v>Microsoft Outlook</v>
      </c>
      <c r="K4" s="23" t="str">
        <f>IFERROR(__xludf.DUMMYFUNCTION("""COMPUTED_VALUE"""),"Microsoft OneDrive")</f>
        <v>Microsoft OneDrive</v>
      </c>
      <c r="L4" s="23"/>
      <c r="M4" s="23"/>
      <c r="N4" s="23"/>
      <c r="O4" s="23"/>
      <c r="P4" s="23"/>
      <c r="Q4" s="23"/>
    </row>
    <row r="5" ht="31.5" customHeight="1">
      <c r="A5" s="1" t="s">
        <v>31</v>
      </c>
      <c r="B5" s="1" t="s">
        <v>92</v>
      </c>
      <c r="C5" s="1" t="s">
        <v>93</v>
      </c>
      <c r="D5" s="1" t="s">
        <v>94</v>
      </c>
      <c r="E5" s="5" t="s">
        <v>95</v>
      </c>
      <c r="F5" s="5" t="s">
        <v>96</v>
      </c>
      <c r="G5" s="5" t="s">
        <v>24</v>
      </c>
      <c r="H5" s="14" t="str">
        <f>IFERROR(__xludf.DUMMYFUNCTION("""COMPUTED_VALUE"""),"Pipedrive")</f>
        <v>Pipedrive</v>
      </c>
      <c r="I5" s="14" t="str">
        <f>IFERROR(__xludf.DUMMYFUNCTION("""COMPUTED_VALUE"""),"Xero")</f>
        <v>Xero</v>
      </c>
      <c r="J5" s="14" t="str">
        <f>IFERROR(__xludf.DUMMYFUNCTION("""COMPUTED_VALUE"""),"Zoho Mail")</f>
        <v>Zoho Mail</v>
      </c>
      <c r="K5" s="14" t="str">
        <f>IFERROR(__xludf.DUMMYFUNCTION("""COMPUTED_VALUE"""),"Microsoft SharePoint")</f>
        <v>Microsoft SharePoint</v>
      </c>
      <c r="L5" s="14"/>
      <c r="M5" s="14"/>
      <c r="N5" s="14"/>
      <c r="O5" s="14"/>
      <c r="P5" s="14"/>
      <c r="Q5" s="14"/>
    </row>
    <row r="6" ht="31.5" customHeight="1">
      <c r="A6" s="1" t="s">
        <v>34</v>
      </c>
      <c r="B6" s="1" t="s">
        <v>102</v>
      </c>
      <c r="C6" s="1" t="s">
        <v>103</v>
      </c>
      <c r="D6" s="1" t="s">
        <v>104</v>
      </c>
      <c r="E6" s="5" t="s">
        <v>105</v>
      </c>
      <c r="F6" s="5" t="s">
        <v>24</v>
      </c>
      <c r="G6" s="5" t="s">
        <v>27</v>
      </c>
      <c r="H6" s="14" t="str">
        <f>IFERROR(__xludf.DUMMYFUNCTION("""COMPUTED_VALUE"""),"Zoho CRM")</f>
        <v>Zoho CRM</v>
      </c>
      <c r="I6" s="14" t="str">
        <f>IFERROR(__xludf.DUMMYFUNCTION("""COMPUTED_VALUE"""),"Sage Intacct")</f>
        <v>Sage Intacct</v>
      </c>
      <c r="J6" s="14" t="str">
        <f>IFERROR(__xludf.DUMMYFUNCTION("""COMPUTED_VALUE"""),"Other (specify)")</f>
        <v>Other (specify)</v>
      </c>
      <c r="K6" s="14" t="str">
        <f>IFERROR(__xludf.DUMMYFUNCTION("""COMPUTED_VALUE"""),"Dropbox")</f>
        <v>Dropbox</v>
      </c>
      <c r="L6" s="14"/>
      <c r="M6" s="14"/>
      <c r="N6" s="14"/>
      <c r="O6" s="14"/>
      <c r="P6" s="14"/>
      <c r="Q6" s="14"/>
    </row>
    <row r="7" ht="31.5" customHeight="1">
      <c r="A7" s="1" t="s">
        <v>37</v>
      </c>
      <c r="B7" s="1" t="s">
        <v>110</v>
      </c>
      <c r="C7" s="1" t="s">
        <v>111</v>
      </c>
      <c r="D7" s="1" t="s">
        <v>112</v>
      </c>
      <c r="E7" s="5" t="s">
        <v>113</v>
      </c>
      <c r="F7" s="5" t="s">
        <v>24</v>
      </c>
      <c r="G7" s="5" t="s">
        <v>27</v>
      </c>
      <c r="H7" s="14" t="str">
        <f>IFERROR(__xludf.DUMMYFUNCTION("""COMPUTED_VALUE"""),"Other (specify)")</f>
        <v>Other (specify)</v>
      </c>
      <c r="I7" s="14" t="str">
        <f>IFERROR(__xludf.DUMMYFUNCTION("""COMPUTED_VALUE"""),"Other (specify)")</f>
        <v>Other (specify)</v>
      </c>
      <c r="J7" s="14" t="str">
        <f>IFERROR(__xludf.DUMMYFUNCTION("""COMPUTED_VALUE"""),"")</f>
        <v/>
      </c>
      <c r="K7" s="14" t="str">
        <f>IFERROR(__xludf.DUMMYFUNCTION("""COMPUTED_VALUE"""),"Box")</f>
        <v>Box</v>
      </c>
      <c r="L7" s="14"/>
      <c r="M7" s="14"/>
      <c r="N7" s="14"/>
      <c r="O7" s="14"/>
      <c r="P7" s="14"/>
      <c r="Q7" s="14"/>
    </row>
    <row r="8" ht="31.5" customHeight="1">
      <c r="A8" s="1" t="s">
        <v>40</v>
      </c>
      <c r="B8" s="1" t="s">
        <v>114</v>
      </c>
      <c r="C8" s="1" t="s">
        <v>115</v>
      </c>
      <c r="D8" s="1" t="s">
        <v>116</v>
      </c>
      <c r="E8" s="5" t="s">
        <v>117</v>
      </c>
      <c r="F8" s="5" t="s">
        <v>24</v>
      </c>
      <c r="G8" s="5" t="s">
        <v>27</v>
      </c>
      <c r="H8" s="14" t="str">
        <f>IFERROR(__xludf.DUMMYFUNCTION("""COMPUTED_VALUE"""),"")</f>
        <v/>
      </c>
      <c r="I8" s="14" t="str">
        <f>IFERROR(__xludf.DUMMYFUNCTION("""COMPUTED_VALUE"""),"")</f>
        <v/>
      </c>
      <c r="J8" s="14"/>
      <c r="K8" s="14" t="str">
        <f>IFERROR(__xludf.DUMMYFUNCTION("""COMPUTED_VALUE"""),"Other (specify)")</f>
        <v>Other (specify)</v>
      </c>
      <c r="L8" s="14"/>
      <c r="M8" s="14"/>
      <c r="N8" s="14"/>
      <c r="O8" s="14"/>
      <c r="P8" s="14"/>
      <c r="Q8" s="14"/>
    </row>
    <row r="9" ht="31.5" customHeight="1">
      <c r="A9" s="1" t="s">
        <v>43</v>
      </c>
      <c r="B9" s="1" t="s">
        <v>118</v>
      </c>
      <c r="C9" s="1" t="s">
        <v>119</v>
      </c>
      <c r="D9" s="1" t="s">
        <v>120</v>
      </c>
      <c r="E9" s="5" t="s">
        <v>121</v>
      </c>
      <c r="F9" s="5" t="s">
        <v>122</v>
      </c>
      <c r="G9" s="5" t="s">
        <v>24</v>
      </c>
      <c r="H9" s="14"/>
      <c r="I9" s="14"/>
      <c r="J9" s="14"/>
      <c r="K9" s="14"/>
      <c r="L9" s="14"/>
      <c r="M9" s="14"/>
      <c r="N9" s="14"/>
      <c r="O9" s="14"/>
      <c r="P9" s="14"/>
      <c r="Q9" s="14"/>
    </row>
    <row r="10" ht="31.5" customHeight="1">
      <c r="A10" s="1" t="s">
        <v>46</v>
      </c>
      <c r="B10" s="1" t="s">
        <v>123</v>
      </c>
      <c r="C10" s="32" t="s">
        <v>124</v>
      </c>
      <c r="D10" s="1" t="s">
        <v>125</v>
      </c>
      <c r="E10" s="5" t="s">
        <v>126</v>
      </c>
      <c r="F10" s="5" t="s">
        <v>127</v>
      </c>
      <c r="G10" s="5" t="s">
        <v>24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ht="31.5" customHeight="1">
      <c r="A11" s="1" t="s">
        <v>49</v>
      </c>
      <c r="B11" s="1" t="s">
        <v>128</v>
      </c>
      <c r="C11" s="1" t="s">
        <v>129</v>
      </c>
      <c r="D11" s="1" t="s">
        <v>130</v>
      </c>
      <c r="E11" s="5" t="s">
        <v>131</v>
      </c>
      <c r="F11" s="5" t="s">
        <v>24</v>
      </c>
      <c r="G11" s="5" t="s">
        <v>27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ht="31.5" customHeight="1">
      <c r="A12" s="1" t="s">
        <v>52</v>
      </c>
      <c r="B12" s="1" t="s">
        <v>132</v>
      </c>
      <c r="C12" s="1" t="s">
        <v>133</v>
      </c>
      <c r="D12" s="1" t="s">
        <v>134</v>
      </c>
      <c r="E12" s="5" t="s">
        <v>24</v>
      </c>
      <c r="F12" s="5" t="s">
        <v>27</v>
      </c>
      <c r="G12" s="5" t="s">
        <v>27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ht="31.5" customHeight="1">
      <c r="A13" s="1" t="s">
        <v>55</v>
      </c>
      <c r="B13" s="1" t="s">
        <v>136</v>
      </c>
      <c r="C13" s="1" t="s">
        <v>137</v>
      </c>
      <c r="D13" s="1" t="s">
        <v>138</v>
      </c>
      <c r="E13" s="5" t="s">
        <v>139</v>
      </c>
      <c r="F13" s="5" t="s">
        <v>140</v>
      </c>
      <c r="G13" s="5" t="s">
        <v>24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ht="31.5" customHeight="1">
      <c r="A14" s="1" t="s">
        <v>58</v>
      </c>
      <c r="B14" s="1" t="s">
        <v>142</v>
      </c>
      <c r="C14" s="1" t="s">
        <v>143</v>
      </c>
      <c r="D14" s="1" t="s">
        <v>144</v>
      </c>
      <c r="E14" s="5" t="s">
        <v>145</v>
      </c>
      <c r="F14" s="5" t="s">
        <v>146</v>
      </c>
      <c r="G14" s="5" t="s">
        <v>24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ht="31.5" customHeight="1">
      <c r="A15" s="1" t="s">
        <v>61</v>
      </c>
      <c r="B15" s="1" t="s">
        <v>147</v>
      </c>
      <c r="C15" s="1" t="s">
        <v>148</v>
      </c>
      <c r="D15" s="1" t="s">
        <v>149</v>
      </c>
      <c r="E15" s="5" t="s">
        <v>150</v>
      </c>
      <c r="F15" s="5" t="s">
        <v>151</v>
      </c>
      <c r="G15" s="5" t="s">
        <v>24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ht="31.5" customHeight="1">
      <c r="A16" s="1" t="s">
        <v>64</v>
      </c>
      <c r="B16" s="1" t="s">
        <v>152</v>
      </c>
      <c r="C16" s="1" t="s">
        <v>153</v>
      </c>
      <c r="D16" s="1" t="s">
        <v>154</v>
      </c>
      <c r="E16" s="5" t="s">
        <v>155</v>
      </c>
      <c r="F16" s="5" t="s">
        <v>156</v>
      </c>
      <c r="G16" s="5" t="s">
        <v>24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ht="31.5" customHeight="1">
      <c r="A17" s="1" t="s">
        <v>67</v>
      </c>
      <c r="B17" s="1" t="s">
        <v>157</v>
      </c>
      <c r="C17" s="1" t="s">
        <v>158</v>
      </c>
      <c r="D17" s="1" t="s">
        <v>24</v>
      </c>
      <c r="E17" s="5" t="s">
        <v>27</v>
      </c>
      <c r="F17" s="5" t="s">
        <v>27</v>
      </c>
      <c r="G17" s="5" t="s">
        <v>27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ht="31.5" customHeight="1"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ht="31.5" customHeight="1"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ht="31.5" customHeight="1"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ht="31.5" customHeight="1"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ht="31.5" customHeight="1"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ht="31.5" customHeight="1"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ht="31.5" customHeight="1"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ht="31.5" customHeight="1"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ht="31.5" customHeight="1"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ht="31.5" customHeight="1"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ht="31.5" customHeight="1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ht="31.5" customHeight="1"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ht="31.5" customHeight="1"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ht="31.5" customHeight="1"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</sheetData>
  <hyperlinks>
    <hyperlink r:id="rId1" ref="C10"/>
  </hyperlinks>
  <drawing r:id="rId2"/>
</worksheet>
</file>